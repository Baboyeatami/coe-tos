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MMTYN\Documents\2 AACADEME\CE PROGRAM\ISO_AUDIT\"/>
    </mc:Choice>
  </mc:AlternateContent>
  <xr:revisionPtr revIDLastSave="0" documentId="13_ncr:1_{4864A0FF-0409-4AAB-9E7E-8273E16653BF}" xr6:coauthVersionLast="47" xr6:coauthVersionMax="47" xr10:uidLastSave="{00000000-0000-0000-0000-000000000000}"/>
  <bookViews>
    <workbookView xWindow="-108" yWindow="-108" windowWidth="22284" windowHeight="13176" xr2:uid="{00000000-000D-0000-FFFF-FFFF00000000}"/>
  </bookViews>
  <sheets>
    <sheet name="Table of Specific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3" i="1" l="1"/>
  <c r="G23" i="1"/>
  <c r="D23" i="1"/>
  <c r="L17" i="1"/>
  <c r="L18" i="1"/>
  <c r="L19" i="1"/>
  <c r="L20" i="1"/>
  <c r="L21" i="1"/>
  <c r="L22" i="1"/>
  <c r="L13" i="1"/>
  <c r="L14" i="1"/>
  <c r="L15" i="1"/>
  <c r="L16" i="1"/>
  <c r="L23" i="1" l="1"/>
  <c r="M17" i="1" s="1"/>
  <c r="M15" i="1" l="1"/>
  <c r="K19" i="1"/>
  <c r="K20" i="1"/>
  <c r="E17" i="1"/>
  <c r="H19" i="1"/>
  <c r="K17" i="1"/>
  <c r="M20" i="1"/>
  <c r="K18" i="1"/>
  <c r="E16" i="1"/>
  <c r="E13" i="1"/>
  <c r="H22" i="1"/>
  <c r="M14" i="1"/>
  <c r="E19" i="1"/>
  <c r="M13" i="1"/>
  <c r="M16" i="1"/>
  <c r="H16" i="1"/>
  <c r="K14" i="1"/>
  <c r="E21" i="1"/>
  <c r="H14" i="1"/>
  <c r="M22" i="1"/>
  <c r="K22" i="1"/>
  <c r="K15" i="1"/>
  <c r="H20" i="1"/>
  <c r="E18" i="1"/>
  <c r="M21" i="1"/>
  <c r="H17" i="1"/>
  <c r="E15" i="1"/>
  <c r="E20" i="1"/>
  <c r="H15" i="1"/>
  <c r="M19" i="1"/>
  <c r="H18" i="1"/>
  <c r="K16" i="1"/>
  <c r="H13" i="1"/>
  <c r="K13" i="1"/>
  <c r="M18" i="1"/>
  <c r="E22" i="1"/>
  <c r="E14" i="1"/>
  <c r="H21" i="1"/>
  <c r="K21" i="1"/>
  <c r="H23" i="1" l="1"/>
  <c r="K23" i="1"/>
  <c r="E23" i="1"/>
  <c r="M2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KMMTYN</author>
  </authors>
  <commentList>
    <comment ref="E23" authorId="0" shapeId="0" xr:uid="{E38429A8-4796-4739-971E-05BB72052AEC}">
      <text>
        <r>
          <rPr>
            <b/>
            <sz val="9"/>
            <color indexed="81"/>
            <rFont val="Tahoma"/>
            <family val="2"/>
          </rPr>
          <t>COE:</t>
        </r>
        <r>
          <rPr>
            <sz val="9"/>
            <color indexed="81"/>
            <rFont val="Tahoma"/>
            <family val="2"/>
          </rPr>
          <t xml:space="preserve">
10 to 20% of the total items</t>
        </r>
      </text>
    </comment>
    <comment ref="H23" authorId="0" shapeId="0" xr:uid="{4E63DCC9-466E-481F-AFAE-AA95B4C2C3D3}">
      <text>
        <r>
          <rPr>
            <b/>
            <sz val="9"/>
            <color indexed="81"/>
            <rFont val="Tahoma"/>
            <family val="2"/>
          </rPr>
          <t>COE:
20 to 30% of the total items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3" authorId="0" shapeId="0" xr:uid="{F37AB4D7-48EF-4055-AB3A-35EB0FCF51CB}">
      <text>
        <r>
          <rPr>
            <b/>
            <sz val="9"/>
            <color indexed="81"/>
            <rFont val="Tahoma"/>
            <family val="2"/>
          </rPr>
          <t>COE:
at least 60% of the total items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3" authorId="0" shapeId="0" xr:uid="{7841AD1B-3EAE-4962-9EE9-625F8BB59ED6}">
      <text>
        <r>
          <rPr>
            <b/>
            <sz val="9"/>
            <color indexed="81"/>
            <rFont val="Tahoma"/>
            <family val="2"/>
          </rPr>
          <t>COE:</t>
        </r>
        <r>
          <rPr>
            <sz val="9"/>
            <color indexed="81"/>
            <rFont val="Tahoma"/>
            <family val="2"/>
          </rPr>
          <t xml:space="preserve">
Total of 100%
</t>
        </r>
      </text>
    </comment>
  </commentList>
</comments>
</file>

<file path=xl/sharedStrings.xml><?xml version="1.0" encoding="utf-8"?>
<sst xmlns="http://schemas.openxmlformats.org/spreadsheetml/2006/main" count="43" uniqueCount="30">
  <si>
    <t>COLLEGE OF ENGINEERING</t>
  </si>
  <si>
    <t>TABLE OF SPECIFICATIONS</t>
  </si>
  <si>
    <t>Academic Year</t>
  </si>
  <si>
    <t>Semester</t>
  </si>
  <si>
    <t>Assessment period</t>
  </si>
  <si>
    <t>LEVEL/SKILLS</t>
  </si>
  <si>
    <t>REMEMBERING
(Knowledge)</t>
  </si>
  <si>
    <t>UNDERSTANDING
(Comprehension/Application)</t>
  </si>
  <si>
    <t>THINKING
(Analysis/Synthesis/Evaluation)</t>
  </si>
  <si>
    <t>TOTAL</t>
  </si>
  <si>
    <t>Contents/Topics</t>
  </si>
  <si>
    <t>Points</t>
  </si>
  <si>
    <t>%</t>
  </si>
  <si>
    <t>Prepared by:</t>
  </si>
  <si>
    <t>Reviewed by:</t>
  </si>
  <si>
    <t>Approved by:</t>
  </si>
  <si>
    <t>Dean, College of Engineering</t>
  </si>
  <si>
    <t>Program Head</t>
  </si>
  <si>
    <t>Test Item No.</t>
  </si>
  <si>
    <t>Instructor</t>
  </si>
  <si>
    <t>Date: ________________</t>
  </si>
  <si>
    <t xml:space="preserve">Course Cat.No.: </t>
  </si>
  <si>
    <t xml:space="preserve">Course Title: </t>
  </si>
  <si>
    <t>A.Y. 2026 – 2027</t>
  </si>
  <si>
    <t>1st</t>
  </si>
  <si>
    <t>Midterm</t>
  </si>
  <si>
    <t>ENGR.</t>
  </si>
  <si>
    <t>ENGR. ARCHANGELO D. ALEGADO, PhD, MEP, MPSA, MTSS</t>
  </si>
  <si>
    <t xml:space="preserve">Program: </t>
  </si>
  <si>
    <t>Note: Enclosed with this form are the test draft and its corresponding answer key.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</si>
</sst>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3409]mmmm\ dd\,\ yyyy;@"/>
    <numFmt numFmtId="165" formatCode="0.0%"/>
  </numFmts>
  <fonts count="12">
    <font>
      <sz val="11"/>
      <name val="Carlito"/>
    </font>
    <font>
      <sz val="10"/>
      <name val="Times New Roman"/>
      <family val="1"/>
    </font>
    <font>
      <b/>
      <sz val="11"/>
      <name val="Times New Roman"/>
      <family val="1"/>
    </font>
    <font>
      <b/>
      <sz val="14"/>
      <color rgb="FFFF1A1A"/>
      <name val="Arial"/>
      <family val="2"/>
    </font>
    <font>
      <sz val="11"/>
      <name val="Carlito"/>
    </font>
    <font>
      <b/>
      <sz val="12"/>
      <name val="Times New Roman"/>
      <family val="1"/>
    </font>
    <font>
      <sz val="1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name val="Times New Roman"/>
      <family val="1"/>
    </font>
    <font>
      <b/>
      <u/>
      <sz val="11"/>
      <name val="Times New Roman"/>
      <family val="1"/>
    </font>
    <font>
      <i/>
      <sz val="10"/>
      <name val="Carlito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7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6" xfId="0" applyBorder="1"/>
    <xf numFmtId="0" fontId="2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 applyProtection="1">
      <alignment horizontal="center" vertical="center" wrapText="1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hidden="1"/>
    </xf>
    <xf numFmtId="9" fontId="6" fillId="0" borderId="2" xfId="1" applyFont="1" applyBorder="1" applyAlignment="1" applyProtection="1">
      <alignment horizontal="center" vertical="center" wrapText="1"/>
      <protection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9" fontId="2" fillId="0" borderId="2" xfId="1" applyFont="1" applyBorder="1" applyAlignment="1" applyProtection="1">
      <alignment horizontal="center" vertical="center" wrapText="1"/>
      <protection hidden="1"/>
    </xf>
    <xf numFmtId="0" fontId="0" fillId="0" borderId="7" xfId="0" applyBorder="1"/>
    <xf numFmtId="0" fontId="6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9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6" fillId="0" borderId="1" xfId="0" applyFont="1" applyBorder="1" applyAlignment="1">
      <alignment horizontal="right" vertical="center"/>
    </xf>
    <xf numFmtId="164" fontId="9" fillId="0" borderId="1" xfId="0" applyNumberFormat="1" applyFont="1" applyBorder="1" applyAlignment="1">
      <alignment horizontal="center" vertical="center"/>
    </xf>
    <xf numFmtId="0" fontId="6" fillId="0" borderId="19" xfId="0" applyFont="1" applyBorder="1" applyAlignment="1">
      <alignment vertical="center" wrapText="1"/>
    </xf>
    <xf numFmtId="0" fontId="6" fillId="0" borderId="0" xfId="0" applyFont="1" applyAlignment="1" applyProtection="1">
      <alignment horizontal="center" vertical="center"/>
      <protection locked="0"/>
    </xf>
    <xf numFmtId="165" fontId="2" fillId="0" borderId="2" xfId="1" applyNumberFormat="1" applyFont="1" applyBorder="1" applyAlignment="1" applyProtection="1">
      <alignment horizontal="center" vertical="center" wrapText="1"/>
      <protection hidden="1"/>
    </xf>
    <xf numFmtId="0" fontId="6" fillId="0" borderId="1" xfId="0" applyFont="1" applyBorder="1" applyAlignment="1">
      <alignment horizontal="left" vertical="center"/>
    </xf>
    <xf numFmtId="0" fontId="6" fillId="0" borderId="20" xfId="0" applyFont="1" applyBorder="1" applyAlignment="1">
      <alignment vertical="center"/>
    </xf>
    <xf numFmtId="0" fontId="0" fillId="0" borderId="21" xfId="0" applyBorder="1"/>
    <xf numFmtId="0" fontId="6" fillId="0" borderId="22" xfId="0" applyFont="1" applyBorder="1" applyAlignment="1">
      <alignment vertical="center"/>
    </xf>
    <xf numFmtId="0" fontId="0" fillId="0" borderId="23" xfId="0" applyBorder="1"/>
    <xf numFmtId="0" fontId="6" fillId="0" borderId="22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 applyProtection="1">
      <alignment horizontal="left"/>
      <protection locked="0"/>
    </xf>
    <xf numFmtId="0" fontId="6" fillId="0" borderId="25" xfId="0" applyFont="1" applyBorder="1" applyAlignment="1" applyProtection="1">
      <alignment horizontal="left"/>
      <protection locked="0"/>
    </xf>
    <xf numFmtId="0" fontId="0" fillId="0" borderId="26" xfId="0" applyBorder="1"/>
    <xf numFmtId="0" fontId="6" fillId="0" borderId="26" xfId="0" applyFont="1" applyBorder="1" applyAlignment="1">
      <alignment vertical="center"/>
    </xf>
    <xf numFmtId="0" fontId="0" fillId="0" borderId="1" xfId="0" applyBorder="1"/>
    <xf numFmtId="0" fontId="6" fillId="0" borderId="16" xfId="0" applyFont="1" applyBorder="1" applyAlignment="1" applyProtection="1">
      <alignment horizontal="left"/>
      <protection locked="0"/>
    </xf>
    <xf numFmtId="0" fontId="0" fillId="0" borderId="25" xfId="0" applyBorder="1"/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vertical="center" wrapText="1"/>
    </xf>
    <xf numFmtId="0" fontId="2" fillId="0" borderId="23" xfId="0" applyFont="1" applyBorder="1" applyAlignment="1">
      <alignment vertical="center"/>
    </xf>
    <xf numFmtId="0" fontId="10" fillId="0" borderId="22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164" fontId="9" fillId="0" borderId="23" xfId="0" applyNumberFormat="1" applyFont="1" applyBorder="1" applyAlignment="1">
      <alignment horizontal="center" vertical="center"/>
    </xf>
    <xf numFmtId="0" fontId="6" fillId="0" borderId="24" xfId="0" applyFont="1" applyBorder="1" applyProtection="1">
      <protection locked="0"/>
    </xf>
    <xf numFmtId="0" fontId="0" fillId="0" borderId="16" xfId="0" applyBorder="1"/>
    <xf numFmtId="0" fontId="6" fillId="0" borderId="16" xfId="0" applyFont="1" applyBorder="1" applyProtection="1">
      <protection locked="0"/>
    </xf>
    <xf numFmtId="0" fontId="6" fillId="0" borderId="16" xfId="0" applyFont="1" applyBorder="1"/>
    <xf numFmtId="0" fontId="1" fillId="0" borderId="16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1" fillId="0" borderId="0" xfId="0" applyFont="1" applyAlignment="1">
      <alignment horizontal="right"/>
    </xf>
    <xf numFmtId="0" fontId="10" fillId="0" borderId="22" xfId="0" applyFont="1" applyBorder="1" applyAlignment="1" applyProtection="1">
      <alignment horizontal="left" vertical="center"/>
      <protection locked="0"/>
    </xf>
    <xf numFmtId="0" fontId="10" fillId="0" borderId="23" xfId="0" applyFont="1" applyBorder="1" applyAlignment="1" applyProtection="1">
      <alignment horizontal="left" vertical="center"/>
      <protection locked="0"/>
    </xf>
    <xf numFmtId="0" fontId="10" fillId="0" borderId="1" xfId="0" applyFont="1" applyBorder="1" applyAlignment="1" applyProtection="1">
      <alignment horizontal="left" vertical="center"/>
      <protection locked="0"/>
    </xf>
    <xf numFmtId="0" fontId="2" fillId="0" borderId="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2" fillId="0" borderId="12" xfId="0" applyFont="1" applyBorder="1" applyAlignment="1" applyProtection="1">
      <alignment horizontal="left" vertical="center"/>
      <protection locked="0"/>
    </xf>
    <xf numFmtId="0" fontId="2" fillId="0" borderId="13" xfId="0" applyFont="1" applyBorder="1" applyAlignment="1" applyProtection="1">
      <alignment horizontal="left" vertical="center"/>
      <protection locked="0"/>
    </xf>
    <xf numFmtId="0" fontId="2" fillId="0" borderId="7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0" fontId="2" fillId="0" borderId="14" xfId="0" applyFont="1" applyBorder="1" applyAlignment="1" applyProtection="1">
      <alignment horizontal="left" vertical="center"/>
      <protection locked="0"/>
    </xf>
    <xf numFmtId="0" fontId="2" fillId="0" borderId="15" xfId="0" applyFont="1" applyBorder="1" applyAlignment="1" applyProtection="1">
      <alignment horizontal="left" vertical="center"/>
      <protection locked="0"/>
    </xf>
    <xf numFmtId="0" fontId="2" fillId="0" borderId="16" xfId="0" applyFont="1" applyBorder="1" applyAlignment="1" applyProtection="1">
      <alignment horizontal="left" vertical="center"/>
      <protection locked="0"/>
    </xf>
    <xf numFmtId="0" fontId="2" fillId="0" borderId="17" xfId="0" applyFont="1" applyBorder="1" applyAlignment="1" applyProtection="1">
      <alignment horizontal="left" vertical="center"/>
      <protection locked="0"/>
    </xf>
  </cellXfs>
  <cellStyles count="2">
    <cellStyle name="Normal" xfId="0" builtinId="0"/>
    <cellStyle name="Percent" xfId="1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473852</xdr:colOff>
      <xdr:row>3</xdr:row>
      <xdr:rowOff>168760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0" y="0"/>
          <a:ext cx="10819123" cy="706642"/>
          <a:chOff x="0" y="0"/>
          <a:chExt cx="10989930" cy="694819"/>
        </a:xfrm>
      </xdr:grpSpPr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GrpSpPr/>
        </xdr:nvGrpSpPr>
        <xdr:grpSpPr>
          <a:xfrm>
            <a:off x="0" y="0"/>
            <a:ext cx="10989930" cy="694819"/>
            <a:chOff x="640631" y="67226"/>
            <a:chExt cx="10370071" cy="640248"/>
          </a:xfrm>
        </xdr:grpSpPr>
        <xdr:pic>
          <xdr:nvPicPr>
            <xdr:cNvPr id="9" name="Shape 11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>
              <a:alphaModFix/>
            </a:blip>
            <a:srcRect r="11959"/>
            <a:stretch/>
          </xdr:blipFill>
          <xdr:spPr bwMode="auto">
            <a:xfrm>
              <a:off x="640631" y="67226"/>
              <a:ext cx="6101248" cy="640248"/>
            </a:xfrm>
            <a:prstGeom prst="rect">
              <a:avLst/>
            </a:prstGeom>
            <a:noFill/>
            <a:ln>
              <a:noFill/>
            </a:ln>
            <a:extLst>
              <a:ext uri="{53640926-AAD7-44D8-BBD7-CCE9431645EC}">
                <a14:shadowObscured xmlns:a14="http://schemas.microsoft.com/office/drawing/2010/main"/>
              </a:ext>
            </a:extLst>
          </xdr:spPr>
        </xdr:pic>
        <xdr:pic>
          <xdr:nvPicPr>
            <xdr:cNvPr id="10" name="Shape 11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>
              <a:alphaModFix/>
            </a:blip>
            <a:srcRect l="56615" t="45765"/>
            <a:stretch/>
          </xdr:blipFill>
          <xdr:spPr bwMode="auto">
            <a:xfrm>
              <a:off x="6411117" y="360563"/>
              <a:ext cx="3006016" cy="346889"/>
            </a:xfrm>
            <a:prstGeom prst="rect">
              <a:avLst/>
            </a:prstGeom>
            <a:noFill/>
            <a:ln>
              <a:noFill/>
            </a:ln>
            <a:extLst>
              <a:ext uri="{53640926-AAD7-44D8-BBD7-CCE9431645EC}">
                <a14:shadowObscured xmlns:a14="http://schemas.microsoft.com/office/drawing/2010/main"/>
              </a:ext>
            </a:extLst>
          </xdr:spPr>
        </xdr:pic>
        <xdr:pic>
          <xdr:nvPicPr>
            <xdr:cNvPr id="11" name="Shape 13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PicPr/>
          </xdr:nvPicPr>
          <xdr:blipFill rotWithShape="1">
            <a:blip xmlns:r="http://schemas.openxmlformats.org/officeDocument/2006/relationships" r:embed="rId2">
              <a:alphaModFix/>
            </a:blip>
            <a:srcRect l="82977" t="5161" r="411" b="49032"/>
            <a:stretch/>
          </xdr:blipFill>
          <xdr:spPr>
            <a:xfrm>
              <a:off x="9226119" y="80304"/>
              <a:ext cx="1784583" cy="626138"/>
            </a:xfrm>
            <a:prstGeom prst="rect">
              <a:avLst/>
            </a:prstGeom>
            <a:noFill/>
            <a:ln>
              <a:noFill/>
            </a:ln>
          </xdr:spPr>
        </xdr:pic>
      </xdr:grp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9811243" y="1"/>
            <a:ext cx="1047730" cy="64796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 algn="ctr">
              <a:buNone/>
            </a:pPr>
            <a:r>
              <a:rPr lang="en-PH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24-FM-A.3</a:t>
            </a:r>
            <a:endParaRPr lang="en-PH" sz="900"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  <a:p>
            <a:pPr marL="0" marR="0" algn="ctr">
              <a:buNone/>
            </a:pPr>
            <a:r>
              <a:rPr lang="en-PH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0</a:t>
            </a:r>
            <a:endParaRPr lang="en-PH" sz="900"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  <a:p>
            <a:pPr marL="0" marR="0" algn="ctr">
              <a:buNone/>
            </a:pPr>
            <a:r>
              <a:rPr lang="en-PH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08-10-26</a:t>
            </a:r>
            <a:endParaRPr lang="en-PH" sz="900"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  <a:p>
            <a:pPr marL="0" marR="0" algn="ctr">
              <a:buNone/>
            </a:pPr>
            <a:r>
              <a:rPr lang="en-PH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24-FM-A.3.03</a:t>
            </a:r>
            <a:endParaRPr lang="en-PH" sz="900"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5:M32"/>
  <sheetViews>
    <sheetView tabSelected="1" view="pageLayout" zoomScale="85" zoomScaleNormal="100" zoomScaleSheetLayoutView="100" zoomScalePageLayoutView="85" workbookViewId="0">
      <selection activeCell="I18" sqref="I18"/>
    </sheetView>
  </sheetViews>
  <sheetFormatPr defaultRowHeight="13.8"/>
  <cols>
    <col min="1" max="1" width="3" customWidth="1"/>
    <col min="2" max="2" width="39.5" customWidth="1"/>
    <col min="3" max="3" width="14" customWidth="1"/>
    <col min="4" max="5" width="6.8984375" customWidth="1"/>
    <col min="6" max="6" width="14" customWidth="1"/>
    <col min="7" max="8" width="6.8984375" customWidth="1"/>
    <col min="9" max="9" width="14" customWidth="1"/>
    <col min="10" max="11" width="6.8984375" customWidth="1"/>
    <col min="12" max="13" width="6.796875" customWidth="1"/>
  </cols>
  <sheetData>
    <row r="5" spans="1:13" ht="15.6">
      <c r="A5" s="18"/>
      <c r="B5" s="65" t="s">
        <v>0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6"/>
    </row>
    <row r="6" spans="1:13" ht="15.6">
      <c r="A6" s="18"/>
      <c r="B6" s="65" t="s">
        <v>1</v>
      </c>
      <c r="C6" s="67"/>
      <c r="D6" s="67"/>
      <c r="E6" s="67"/>
      <c r="F6" s="67"/>
      <c r="G6" s="67"/>
      <c r="H6" s="65"/>
      <c r="I6" s="67"/>
      <c r="J6" s="67"/>
      <c r="K6" s="67"/>
      <c r="L6" s="67"/>
      <c r="M6" s="68"/>
    </row>
    <row r="7" spans="1:13" ht="15.6" customHeight="1">
      <c r="A7" s="69" t="s">
        <v>28</v>
      </c>
      <c r="B7" s="70"/>
      <c r="C7" s="19"/>
      <c r="D7" s="20"/>
      <c r="E7" s="21"/>
      <c r="F7" s="22" t="s">
        <v>2</v>
      </c>
      <c r="G7" s="23"/>
      <c r="H7" s="24"/>
      <c r="I7" s="71" t="s">
        <v>23</v>
      </c>
      <c r="J7" s="72"/>
      <c r="K7" s="72"/>
      <c r="L7" s="72"/>
      <c r="M7" s="73"/>
    </row>
    <row r="8" spans="1:13" ht="15.6" customHeight="1">
      <c r="A8" s="74" t="s">
        <v>21</v>
      </c>
      <c r="B8" s="75"/>
      <c r="C8" s="75"/>
      <c r="D8" s="75"/>
      <c r="E8" s="76"/>
      <c r="F8" s="22" t="s">
        <v>3</v>
      </c>
      <c r="G8" s="23"/>
      <c r="H8" s="24"/>
      <c r="I8" s="71" t="s">
        <v>24</v>
      </c>
      <c r="J8" s="72"/>
      <c r="K8" s="72"/>
      <c r="L8" s="72"/>
      <c r="M8" s="30"/>
    </row>
    <row r="9" spans="1:13" ht="15.6" customHeight="1">
      <c r="A9" s="71" t="s">
        <v>22</v>
      </c>
      <c r="B9" s="72"/>
      <c r="C9" s="72"/>
      <c r="D9" s="72"/>
      <c r="E9" s="73"/>
      <c r="F9" s="23" t="s">
        <v>4</v>
      </c>
      <c r="G9" s="23"/>
      <c r="H9" s="24"/>
      <c r="I9" s="71" t="s">
        <v>25</v>
      </c>
      <c r="J9" s="72"/>
      <c r="K9" s="72"/>
      <c r="L9" s="72"/>
      <c r="M9" s="25"/>
    </row>
    <row r="10" spans="1:13"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</row>
    <row r="11" spans="1:13">
      <c r="A11" s="7"/>
      <c r="B11" s="8" t="s">
        <v>5</v>
      </c>
      <c r="C11" s="64" t="s">
        <v>6</v>
      </c>
      <c r="D11" s="64"/>
      <c r="E11" s="64"/>
      <c r="F11" s="64" t="s">
        <v>7</v>
      </c>
      <c r="G11" s="64"/>
      <c r="H11" s="64"/>
      <c r="I11" s="64" t="s">
        <v>8</v>
      </c>
      <c r="J11" s="64"/>
      <c r="K11" s="64"/>
      <c r="L11" s="64" t="s">
        <v>9</v>
      </c>
      <c r="M11" s="64"/>
    </row>
    <row r="12" spans="1:13">
      <c r="A12" s="7"/>
      <c r="B12" s="8" t="s">
        <v>10</v>
      </c>
      <c r="C12" s="3" t="s">
        <v>18</v>
      </c>
      <c r="D12" s="3" t="s">
        <v>11</v>
      </c>
      <c r="E12" s="3" t="s">
        <v>12</v>
      </c>
      <c r="F12" s="3" t="s">
        <v>18</v>
      </c>
      <c r="G12" s="3" t="s">
        <v>11</v>
      </c>
      <c r="H12" s="3" t="s">
        <v>12</v>
      </c>
      <c r="I12" s="3" t="s">
        <v>18</v>
      </c>
      <c r="J12" s="3" t="s">
        <v>11</v>
      </c>
      <c r="K12" s="3" t="s">
        <v>12</v>
      </c>
      <c r="L12" s="3" t="s">
        <v>11</v>
      </c>
      <c r="M12" s="3" t="s">
        <v>12</v>
      </c>
    </row>
    <row r="13" spans="1:13" s="10" customFormat="1" ht="20.399999999999999" customHeight="1">
      <c r="A13" s="9">
        <v>1</v>
      </c>
      <c r="B13" s="11"/>
      <c r="C13" s="31"/>
      <c r="D13" s="12"/>
      <c r="E13" s="15" t="str">
        <f t="shared" ref="E13:E21" si="0">IF(OR($L$23="",D13=""),"",D13/$L$23)</f>
        <v/>
      </c>
      <c r="F13" s="12"/>
      <c r="G13" s="12"/>
      <c r="H13" s="15" t="str">
        <f t="shared" ref="H13:H21" si="1">IF(OR($L$23="",G13=""),"",G13/$L$23)</f>
        <v/>
      </c>
      <c r="I13" s="12"/>
      <c r="J13" s="12"/>
      <c r="K13" s="15" t="str">
        <f t="shared" ref="K13:M21" si="2">IF(OR($L$23="",J13=""),"",J13/$L$23)</f>
        <v/>
      </c>
      <c r="L13" s="16" t="str">
        <f t="shared" ref="L13:L15" si="3">IF(AND(D13="",G13="",J13=""),"",SUM(D13,G13,J13))</f>
        <v/>
      </c>
      <c r="M13" s="15" t="str">
        <f t="shared" si="2"/>
        <v/>
      </c>
    </row>
    <row r="14" spans="1:13" s="10" customFormat="1" ht="20.399999999999999" customHeight="1">
      <c r="A14" s="9">
        <v>2</v>
      </c>
      <c r="B14" s="12"/>
      <c r="C14" s="12"/>
      <c r="D14" s="12"/>
      <c r="E14" s="15" t="str">
        <f t="shared" si="0"/>
        <v/>
      </c>
      <c r="F14" s="12"/>
      <c r="G14" s="12"/>
      <c r="H14" s="15" t="str">
        <f t="shared" si="1"/>
        <v/>
      </c>
      <c r="I14" s="12"/>
      <c r="J14" s="12"/>
      <c r="K14" s="15" t="str">
        <f t="shared" si="2"/>
        <v/>
      </c>
      <c r="L14" s="16" t="str">
        <f t="shared" si="3"/>
        <v/>
      </c>
      <c r="M14" s="15" t="str">
        <f t="shared" ref="M14" si="4">IF(OR($L$23="",L14=""),"",L14/$L$23)</f>
        <v/>
      </c>
    </row>
    <row r="15" spans="1:13" s="10" customFormat="1" ht="20.399999999999999" customHeight="1">
      <c r="A15" s="9">
        <v>3</v>
      </c>
      <c r="B15" s="11"/>
      <c r="C15" s="12"/>
      <c r="D15" s="12"/>
      <c r="E15" s="15" t="str">
        <f t="shared" si="0"/>
        <v/>
      </c>
      <c r="F15" s="12"/>
      <c r="G15" s="12"/>
      <c r="H15" s="15" t="str">
        <f t="shared" si="1"/>
        <v/>
      </c>
      <c r="I15" s="12"/>
      <c r="J15" s="12"/>
      <c r="K15" s="15" t="str">
        <f t="shared" si="2"/>
        <v/>
      </c>
      <c r="L15" s="16" t="str">
        <f t="shared" si="3"/>
        <v/>
      </c>
      <c r="M15" s="15" t="str">
        <f t="shared" ref="M15" si="5">IF(OR($L$23="",L15=""),"",L15/$L$23)</f>
        <v/>
      </c>
    </row>
    <row r="16" spans="1:13" s="10" customFormat="1" ht="20.399999999999999" customHeight="1">
      <c r="A16" s="9">
        <v>4</v>
      </c>
      <c r="B16" s="11"/>
      <c r="C16" s="12"/>
      <c r="D16" s="12"/>
      <c r="E16" s="15" t="str">
        <f t="shared" si="0"/>
        <v/>
      </c>
      <c r="F16" s="12"/>
      <c r="G16" s="12"/>
      <c r="H16" s="15" t="str">
        <f t="shared" si="1"/>
        <v/>
      </c>
      <c r="I16" s="12"/>
      <c r="J16" s="12"/>
      <c r="K16" s="15" t="str">
        <f t="shared" si="2"/>
        <v/>
      </c>
      <c r="L16" s="16" t="str">
        <f>IF(AND(D16="",G16="",J16=""),"",SUM(D16,G16,J16))</f>
        <v/>
      </c>
      <c r="M16" s="15" t="str">
        <f t="shared" ref="M16" si="6">IF(OR($L$23="",L16=""),"",L16/$L$23)</f>
        <v/>
      </c>
    </row>
    <row r="17" spans="1:13" s="10" customFormat="1" ht="20.399999999999999" customHeight="1">
      <c r="A17" s="9">
        <v>5</v>
      </c>
      <c r="B17" s="11"/>
      <c r="C17" s="12"/>
      <c r="D17" s="12"/>
      <c r="E17" s="15" t="str">
        <f t="shared" si="0"/>
        <v/>
      </c>
      <c r="F17" s="12"/>
      <c r="G17" s="12"/>
      <c r="H17" s="15" t="str">
        <f t="shared" si="1"/>
        <v/>
      </c>
      <c r="I17" s="12"/>
      <c r="J17" s="12"/>
      <c r="K17" s="15" t="str">
        <f t="shared" si="2"/>
        <v/>
      </c>
      <c r="L17" s="16" t="str">
        <f t="shared" ref="L17:L22" si="7">IF(AND(D17="",G17="",J17=""),"",SUM(D17,G17,J17))</f>
        <v/>
      </c>
      <c r="M17" s="15" t="str">
        <f t="shared" ref="M17" si="8">IF(OR($L$23="",L17=""),"",L17/$L$23)</f>
        <v/>
      </c>
    </row>
    <row r="18" spans="1:13" s="10" customFormat="1" ht="20.399999999999999" customHeight="1">
      <c r="A18" s="9">
        <v>6</v>
      </c>
      <c r="B18" s="11"/>
      <c r="C18" s="12"/>
      <c r="D18" s="12"/>
      <c r="E18" s="15" t="str">
        <f t="shared" si="0"/>
        <v/>
      </c>
      <c r="F18" s="12"/>
      <c r="G18" s="12"/>
      <c r="H18" s="15" t="str">
        <f t="shared" si="1"/>
        <v/>
      </c>
      <c r="I18" s="12"/>
      <c r="J18" s="12"/>
      <c r="K18" s="15" t="str">
        <f t="shared" si="2"/>
        <v/>
      </c>
      <c r="L18" s="16" t="str">
        <f t="shared" si="7"/>
        <v/>
      </c>
      <c r="M18" s="15" t="str">
        <f t="shared" ref="M18" si="9">IF(OR($L$23="",L18=""),"",L18/$L$23)</f>
        <v/>
      </c>
    </row>
    <row r="19" spans="1:13" s="10" customFormat="1" ht="20.399999999999999" customHeight="1">
      <c r="A19" s="9">
        <v>7</v>
      </c>
      <c r="B19" s="11"/>
      <c r="C19" s="12"/>
      <c r="D19" s="12"/>
      <c r="E19" s="15" t="str">
        <f t="shared" si="0"/>
        <v/>
      </c>
      <c r="F19" s="12"/>
      <c r="G19" s="12"/>
      <c r="H19" s="15" t="str">
        <f t="shared" si="1"/>
        <v/>
      </c>
      <c r="I19" s="12"/>
      <c r="J19" s="12"/>
      <c r="K19" s="15" t="str">
        <f t="shared" si="2"/>
        <v/>
      </c>
      <c r="L19" s="16" t="str">
        <f t="shared" si="7"/>
        <v/>
      </c>
      <c r="M19" s="15" t="str">
        <f t="shared" ref="M19" si="10">IF(OR($L$23="",L19=""),"",L19/$L$23)</f>
        <v/>
      </c>
    </row>
    <row r="20" spans="1:13" s="10" customFormat="1" ht="20.399999999999999" customHeight="1">
      <c r="A20" s="9">
        <v>8</v>
      </c>
      <c r="B20" s="11"/>
      <c r="C20" s="13"/>
      <c r="D20" s="13"/>
      <c r="E20" s="15" t="str">
        <f t="shared" si="0"/>
        <v/>
      </c>
      <c r="F20" s="12"/>
      <c r="G20" s="12"/>
      <c r="H20" s="15" t="str">
        <f t="shared" si="1"/>
        <v/>
      </c>
      <c r="I20" s="12"/>
      <c r="J20" s="12"/>
      <c r="K20" s="15" t="str">
        <f t="shared" si="2"/>
        <v/>
      </c>
      <c r="L20" s="16" t="str">
        <f t="shared" si="7"/>
        <v/>
      </c>
      <c r="M20" s="15" t="str">
        <f t="shared" ref="M20" si="11">IF(OR($L$23="",L20=""),"",L20/$L$23)</f>
        <v/>
      </c>
    </row>
    <row r="21" spans="1:13" s="10" customFormat="1" ht="20.399999999999999" customHeight="1">
      <c r="A21" s="9">
        <v>9</v>
      </c>
      <c r="B21" s="11"/>
      <c r="C21" s="13"/>
      <c r="D21" s="13"/>
      <c r="E21" s="15" t="str">
        <f t="shared" si="0"/>
        <v/>
      </c>
      <c r="F21" s="12"/>
      <c r="G21" s="12"/>
      <c r="H21" s="15" t="str">
        <f t="shared" si="1"/>
        <v/>
      </c>
      <c r="I21" s="12"/>
      <c r="J21" s="12"/>
      <c r="K21" s="15" t="str">
        <f t="shared" si="2"/>
        <v/>
      </c>
      <c r="L21" s="16" t="str">
        <f t="shared" si="7"/>
        <v/>
      </c>
      <c r="M21" s="15" t="str">
        <f t="shared" ref="M21" si="12">IF(OR($L$23="",L21=""),"",L21/$L$23)</f>
        <v/>
      </c>
    </row>
    <row r="22" spans="1:13" s="10" customFormat="1" ht="20.399999999999999" customHeight="1">
      <c r="A22" s="9">
        <v>10</v>
      </c>
      <c r="B22" s="11"/>
      <c r="C22" s="12"/>
      <c r="D22" s="12"/>
      <c r="E22" s="15" t="str">
        <f>IF(OR($L$23="",D22=""),"",D22/$L$23)</f>
        <v/>
      </c>
      <c r="F22" s="12"/>
      <c r="G22" s="12"/>
      <c r="H22" s="15" t="str">
        <f>IF(OR($L$23="",G22=""),"",G22/$L$23)</f>
        <v/>
      </c>
      <c r="I22" s="12"/>
      <c r="J22" s="12"/>
      <c r="K22" s="15" t="str">
        <f>IF(OR($L$23="",J22=""),"",J22/$L$23)</f>
        <v/>
      </c>
      <c r="L22" s="16" t="str">
        <f t="shared" si="7"/>
        <v/>
      </c>
      <c r="M22" s="15" t="str">
        <f t="shared" ref="M22" si="13">IF(OR($L$23="",L22=""),"",L22/$L$23)</f>
        <v/>
      </c>
    </row>
    <row r="23" spans="1:13" s="10" customFormat="1">
      <c r="A23" s="9"/>
      <c r="B23" s="8" t="s">
        <v>9</v>
      </c>
      <c r="C23" s="3"/>
      <c r="D23" s="14" t="str">
        <f>IF(AND(D13="",D14="",D15="",D16="",D17="",D18="",D19="",D20="",D21="",D22=""),"",SUM(D13:D22))</f>
        <v/>
      </c>
      <c r="E23" s="32" t="str">
        <f>IF(AND(E13="",E14="",E15="",E16="",E17="",E18="",E19="",E20="",E21="",E22=""),"",SUM(E13:E22))</f>
        <v/>
      </c>
      <c r="F23" s="3"/>
      <c r="G23" s="14" t="str">
        <f>IF(AND(G13="",G14="",G15="",G16="",G17="",G18="",G19="",G20="",G21="",G22=""),"",SUM(G13:G22))</f>
        <v/>
      </c>
      <c r="H23" s="32" t="str">
        <f>IF(AND(H13="",H14="",H15="",H16="",H17="",H18="",H19="",H20="",H21="",H22=""),"",SUM(H13:H22))</f>
        <v/>
      </c>
      <c r="I23" s="3"/>
      <c r="J23" s="14" t="str">
        <f>IF(AND(J13="",J14="",J15="",J16="",J17="",J18="",J19="",J20="",J21="",J22=""),"",SUM(J13:J22))</f>
        <v/>
      </c>
      <c r="K23" s="32" t="str">
        <f>IF(AND(K13="",K14="",K15="",K16="",K17="",K18="",K19="",K20="",K21="",K22=""),"",SUM(K13:K22))</f>
        <v/>
      </c>
      <c r="L23" s="14" t="str">
        <f>IF(AND(L13="",L14="",L15="",L16="",L17="",L18="",L19="",L20="",L21="",L22=""),"",SUM(L13:L22))</f>
        <v/>
      </c>
      <c r="M23" s="17" t="str">
        <f>IF(AND(E23="",H23="",K23=""),"",SUM(E23,H23,K23))</f>
        <v/>
      </c>
    </row>
    <row r="24" spans="1:13">
      <c r="K24" s="4"/>
      <c r="L24" s="4"/>
      <c r="M24" s="5"/>
    </row>
    <row r="25" spans="1:13">
      <c r="A25" s="34" t="s">
        <v>13</v>
      </c>
      <c r="B25" s="35"/>
      <c r="C25" s="34" t="s">
        <v>14</v>
      </c>
      <c r="D25" s="42"/>
      <c r="E25" s="43"/>
      <c r="F25" s="35"/>
      <c r="G25" s="47" t="s">
        <v>15</v>
      </c>
      <c r="H25" s="42"/>
      <c r="I25" s="43"/>
      <c r="J25" s="43"/>
      <c r="K25" s="43"/>
      <c r="L25" s="43"/>
      <c r="M25" s="48"/>
    </row>
    <row r="26" spans="1:13">
      <c r="A26" s="36"/>
      <c r="B26" s="37"/>
      <c r="C26" s="36"/>
      <c r="D26" s="44"/>
      <c r="E26" s="4"/>
      <c r="F26" s="37"/>
      <c r="G26" s="36"/>
      <c r="H26" s="44"/>
      <c r="I26" s="4"/>
      <c r="J26" s="4"/>
      <c r="K26" s="6"/>
      <c r="L26" s="6"/>
      <c r="M26" s="49"/>
    </row>
    <row r="27" spans="1:13">
      <c r="A27" s="61" t="s">
        <v>26</v>
      </c>
      <c r="B27" s="62"/>
      <c r="C27" s="61" t="s">
        <v>26</v>
      </c>
      <c r="D27" s="63"/>
      <c r="E27" s="63"/>
      <c r="F27" s="62"/>
      <c r="G27" s="50" t="s">
        <v>27</v>
      </c>
      <c r="H27" s="44"/>
      <c r="I27" s="6"/>
      <c r="J27" s="6"/>
      <c r="K27" s="28"/>
      <c r="L27" s="51"/>
      <c r="M27" s="52"/>
    </row>
    <row r="28" spans="1:13">
      <c r="A28" s="38" t="s">
        <v>19</v>
      </c>
      <c r="B28" s="39"/>
      <c r="C28" s="38" t="s">
        <v>17</v>
      </c>
      <c r="D28" s="33"/>
      <c r="E28" s="33"/>
      <c r="F28" s="37"/>
      <c r="G28" s="38" t="s">
        <v>16</v>
      </c>
      <c r="H28" s="44"/>
      <c r="I28" s="4"/>
      <c r="J28" s="4"/>
      <c r="K28" s="28"/>
      <c r="L28" s="29"/>
      <c r="M28" s="53"/>
    </row>
    <row r="29" spans="1:13">
      <c r="A29" s="40" t="s">
        <v>20</v>
      </c>
      <c r="B29" s="41"/>
      <c r="C29" s="40" t="s">
        <v>20</v>
      </c>
      <c r="D29" s="45"/>
      <c r="E29" s="45"/>
      <c r="F29" s="46"/>
      <c r="G29" s="54" t="s">
        <v>20</v>
      </c>
      <c r="H29" s="55"/>
      <c r="I29" s="56"/>
      <c r="J29" s="57"/>
      <c r="K29" s="58"/>
      <c r="L29" s="58"/>
      <c r="M29" s="59"/>
    </row>
    <row r="30" spans="1:13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ht="13.8" customHeight="1">
      <c r="A31" s="27" t="s">
        <v>0</v>
      </c>
      <c r="D31" s="1"/>
      <c r="E31" s="1"/>
      <c r="F31" s="1"/>
      <c r="G31" s="1"/>
      <c r="H31" s="1"/>
      <c r="I31" s="1"/>
      <c r="J31" s="1"/>
      <c r="K31" s="1"/>
      <c r="L31" s="1"/>
      <c r="M31" s="60" t="s">
        <v>29</v>
      </c>
    </row>
    <row r="32" spans="1:13"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</sheetData>
  <sheetProtection sheet="1" objects="1" scenarios="1"/>
  <mergeCells count="14">
    <mergeCell ref="L11:M11"/>
    <mergeCell ref="B5:M5"/>
    <mergeCell ref="B6:M6"/>
    <mergeCell ref="A7:B7"/>
    <mergeCell ref="A9:E9"/>
    <mergeCell ref="I9:L9"/>
    <mergeCell ref="I7:M7"/>
    <mergeCell ref="I8:L8"/>
    <mergeCell ref="A8:E8"/>
    <mergeCell ref="A27:B27"/>
    <mergeCell ref="C27:F27"/>
    <mergeCell ref="C11:E11"/>
    <mergeCell ref="F11:H11"/>
    <mergeCell ref="I11:K11"/>
  </mergeCells>
  <conditionalFormatting sqref="E23">
    <cfRule type="cellIs" dxfId="4" priority="1" operator="lessThan">
      <formula>0.1</formula>
    </cfRule>
    <cfRule type="cellIs" dxfId="3" priority="5" operator="greaterThan">
      <formula>0.2</formula>
    </cfRule>
  </conditionalFormatting>
  <conditionalFormatting sqref="H23">
    <cfRule type="cellIs" dxfId="2" priority="2" operator="lessThan">
      <formula>0.2</formula>
    </cfRule>
    <cfRule type="cellIs" dxfId="1" priority="4" operator="greaterThan">
      <formula>0.3</formula>
    </cfRule>
  </conditionalFormatting>
  <conditionalFormatting sqref="K23">
    <cfRule type="cellIs" dxfId="0" priority="3" operator="lessThan">
      <formula>0.6</formula>
    </cfRule>
  </conditionalFormatting>
  <dataValidations disablePrompts="1" count="3">
    <dataValidation type="list" allowBlank="1" showInputMessage="1" showErrorMessage="1" sqref="A7:B7" xr:uid="{28CBD8F6-6399-43E5-BA19-B93158FF7A12}">
      <formula1>"Program: ,Program: BS Civil Engineering,Program: BS Computer Engineering,Program: BS Electronics Engineering"</formula1>
    </dataValidation>
    <dataValidation type="list" allowBlank="1" showInputMessage="1" showErrorMessage="1" sqref="I8" xr:uid="{FB9C4E2C-11FC-4588-8923-D81E5F2767D1}">
      <formula1>"□1st        □2nd        □Summer, 1st,2nd,Summer"</formula1>
    </dataValidation>
    <dataValidation type="list" allowBlank="1" showInputMessage="1" showErrorMessage="1" sqref="I9:L9" xr:uid="{A1B2F55E-C5B6-48E0-A623-F689B901F111}">
      <formula1>"□1st QE     □Midterm     □3rd QE     □Finals,1st QE,Midterm,3rd QE,Finals"</formula1>
    </dataValidation>
  </dataValidations>
  <pageMargins left="0.25" right="0.25" top="0.75" bottom="0.75" header="0.3" footer="0.3"/>
  <pageSetup paperSize="14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of Specifications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KMMTYN</dc:creator>
  <cp:lastModifiedBy>Kristine May Maturan</cp:lastModifiedBy>
  <cp:lastPrinted>2026-10-05T08:50:05Z</cp:lastPrinted>
  <dcterms:created xsi:type="dcterms:W3CDTF">2026-10-05T07:18:13Z</dcterms:created>
  <dcterms:modified xsi:type="dcterms:W3CDTF">2026-10-05T09:20:16Z</dcterms:modified>
</cp:coreProperties>
</file>